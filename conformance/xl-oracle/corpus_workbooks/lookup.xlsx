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A100</t>
        </is>
      </c>
      <c r="B1" t="n">
        <v>9.5</v>
      </c>
      <c r="C1" t="inlineStr">
        <is>
          <t>widget</t>
        </is>
      </c>
      <c r="E1" t="inlineStr">
        <is>
          <t>A200</t>
        </is>
      </c>
      <c r="F1" t="n">
        <v>3</v>
      </c>
      <c r="G1">
        <f>VLOOKUP(E1,$A$1:$C$4,2,FALSE)</f>
        <v/>
      </c>
      <c r="H1">
        <f>G1*F1</f>
        <v/>
      </c>
      <c r="I1">
        <f>INDEX($C$1:$C$4,MATCH(E1,$A$1:$A$4,0))</f>
        <v/>
      </c>
      <c r="J1">
        <f>IF(F1&gt;=5,"bulk","std")</f>
        <v/>
      </c>
    </row>
    <row r="2">
      <c r="A2" t="inlineStr">
        <is>
          <t>A200</t>
        </is>
      </c>
      <c r="B2" t="n">
        <v>14</v>
      </c>
      <c r="C2" t="inlineStr">
        <is>
          <t>gadget</t>
        </is>
      </c>
      <c r="E2" t="inlineStr">
        <is>
          <t>A300</t>
        </is>
      </c>
      <c r="F2" t="n">
        <v>10</v>
      </c>
      <c r="G2">
        <f>VLOOKUP(E2,$A$1:$C$4,2,FALSE)</f>
        <v/>
      </c>
      <c r="H2">
        <f>G2*F2</f>
        <v/>
      </c>
      <c r="I2">
        <f>INDEX($C$1:$C$4,MATCH(E2,$A$1:$A$4,0))</f>
        <v/>
      </c>
      <c r="J2">
        <f>IF(F2&gt;=5,"bulk","std")</f>
        <v/>
      </c>
    </row>
    <row r="3">
      <c r="A3" t="inlineStr">
        <is>
          <t>A300</t>
        </is>
      </c>
      <c r="B3" t="n">
        <v>3.25</v>
      </c>
      <c r="C3" t="inlineStr">
        <is>
          <t>widget</t>
        </is>
      </c>
      <c r="E3" t="inlineStr">
        <is>
          <t>A100</t>
        </is>
      </c>
      <c r="F3" t="n">
        <v>2</v>
      </c>
      <c r="G3">
        <f>VLOOKUP(E3,$A$1:$C$4,2,FALSE)</f>
        <v/>
      </c>
      <c r="H3">
        <f>G3*F3</f>
        <v/>
      </c>
      <c r="I3">
        <f>INDEX($C$1:$C$4,MATCH(E3,$A$1:$A$4,0))</f>
        <v/>
      </c>
      <c r="J3">
        <f>IF(F3&gt;=5,"bulk","std")</f>
        <v/>
      </c>
    </row>
    <row r="4">
      <c r="A4" t="inlineStr">
        <is>
          <t>A400</t>
        </is>
      </c>
      <c r="B4" t="n">
        <v>22</v>
      </c>
      <c r="C4" t="inlineStr">
        <is>
          <t>gadget</t>
        </is>
      </c>
    </row>
    <row r="5">
      <c r="H5">
        <f>SUM(H1:H3)</f>
        <v/>
      </c>
    </row>
    <row r="6">
      <c r="H6">
        <f>SUMIF(I1:I3,"widget",H1:H3)</f>
        <v/>
      </c>
    </row>
    <row r="7">
      <c r="H7">
        <f>HLOOKUP(9.5,B1:B4,1,FALSE)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2026-07-18T06:34:13Z</dcterms:created>
  <dcterms:modified xsi:type="dcterms:W3CDTF">2026-07-18T06:34:13Z</dcterms:modified>
</cp:coreProperties>
</file>