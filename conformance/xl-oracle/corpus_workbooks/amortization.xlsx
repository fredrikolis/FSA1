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</t>
        </is>
      </c>
      <c r="B1" t="n">
        <v>20000</v>
      </c>
    </row>
    <row r="2">
      <c r="A2" t="inlineStr">
        <is>
          <t>Annual rate</t>
        </is>
      </c>
      <c r="B2" t="n">
        <v>0.06</v>
      </c>
    </row>
    <row r="3">
      <c r="A3" t="inlineStr">
        <is>
          <t>Months</t>
        </is>
      </c>
      <c r="B3" t="n">
        <v>6</v>
      </c>
    </row>
    <row r="4">
      <c r="A4" t="inlineStr">
        <is>
          <t>Monthly payment</t>
        </is>
      </c>
      <c r="B4">
        <f>PMT(B2/12,B3,-B1)</f>
        <v/>
      </c>
    </row>
    <row r="6">
      <c r="A6" t="inlineStr">
        <is>
          <t>Period</t>
        </is>
      </c>
      <c r="B6" t="inlineStr">
        <is>
          <t>Interest</t>
        </is>
      </c>
      <c r="C6" t="inlineStr">
        <is>
          <t>Principal</t>
        </is>
      </c>
      <c r="D6">
        <f>B1</f>
        <v/>
      </c>
    </row>
    <row r="7">
      <c r="A7" t="n">
        <v>1</v>
      </c>
      <c r="B7">
        <f>D6*$B$2/12</f>
        <v/>
      </c>
      <c r="C7">
        <f>$B$4-B7</f>
        <v/>
      </c>
      <c r="D7">
        <f>D6-C7</f>
        <v/>
      </c>
    </row>
    <row r="8">
      <c r="A8">
        <f>A7+1</f>
        <v/>
      </c>
      <c r="B8">
        <f>D7*$B$2/12</f>
        <v/>
      </c>
      <c r="C8">
        <f>$B$4-B8</f>
        <v/>
      </c>
      <c r="D8">
        <f>D7-C8</f>
        <v/>
      </c>
    </row>
    <row r="9">
      <c r="A9">
        <f>A8+1</f>
        <v/>
      </c>
      <c r="B9">
        <f>D8*$B$2/12</f>
        <v/>
      </c>
      <c r="C9">
        <f>$B$4-B9</f>
        <v/>
      </c>
      <c r="D9">
        <f>D8-C9</f>
        <v/>
      </c>
    </row>
    <row r="10">
      <c r="A10">
        <f>A9+1</f>
        <v/>
      </c>
      <c r="B10">
        <f>D9*$B$2/12</f>
        <v/>
      </c>
      <c r="C10">
        <f>$B$4-B10</f>
        <v/>
      </c>
      <c r="D10">
        <f>D9-C10</f>
        <v/>
      </c>
    </row>
    <row r="11">
      <c r="A11">
        <f>A10+1</f>
        <v/>
      </c>
      <c r="B11">
        <f>D10*$B$2/12</f>
        <v/>
      </c>
      <c r="C11">
        <f>$B$4-B11</f>
        <v/>
      </c>
      <c r="D11">
        <f>D10-C11</f>
        <v/>
      </c>
    </row>
    <row r="12">
      <c r="A12">
        <f>A11+1</f>
        <v/>
      </c>
      <c r="B12">
        <f>D11*$B$2/12</f>
        <v/>
      </c>
      <c r="C12">
        <f>$B$4-B12</f>
        <v/>
      </c>
      <c r="D12">
        <f>D11-C12</f>
        <v/>
      </c>
    </row>
    <row r="14">
      <c r="A14" t="inlineStr">
        <is>
          <t>Total interest</t>
        </is>
      </c>
      <c r="B14">
        <f>SUM(B7:B12)</f>
        <v/>
      </c>
    </row>
    <row r="15">
      <c r="A15" t="inlineStr">
        <is>
          <t>IPMT p1</t>
        </is>
      </c>
      <c r="B15">
        <f>IPMT(B2/12,1,B3,-B1)</f>
        <v/>
      </c>
    </row>
    <row r="16">
      <c r="A16" t="inlineStr">
        <is>
          <t>PPMT p1</t>
        </is>
      </c>
      <c r="B16">
        <f>PPMT(B2/12,1,B3,-B1)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2026-07-18T06:34:13Z</dcterms:created>
  <dcterms:modified xsi:type="dcterms:W3CDTF">2026-07-18T06:34:13Z</dcterms:modified>
</cp:coreProperties>
</file>