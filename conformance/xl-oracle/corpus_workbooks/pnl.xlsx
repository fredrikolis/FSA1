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revenue</t>
        </is>
      </c>
      <c r="B1" t="n">
        <v>120000</v>
      </c>
      <c r="C1" t="n">
        <v>138000</v>
      </c>
    </row>
    <row r="2">
      <c r="A2" t="inlineStr">
        <is>
          <t>Service revenue</t>
        </is>
      </c>
      <c r="B2" t="n">
        <v>45000</v>
      </c>
      <c r="C2" t="n">
        <v>52000</v>
      </c>
    </row>
    <row r="3">
      <c r="A3" t="inlineStr">
        <is>
          <t>Total revenue</t>
        </is>
      </c>
      <c r="B3">
        <f>SUM(B1:B2)</f>
        <v/>
      </c>
      <c r="C3">
        <f>SUM(C1:C2)</f>
        <v/>
      </c>
    </row>
    <row r="4">
      <c r="A4" t="inlineStr">
        <is>
          <t>COGS</t>
        </is>
      </c>
      <c r="B4" t="n">
        <v>66000</v>
      </c>
      <c r="C4" t="n">
        <v>73000</v>
      </c>
    </row>
    <row r="5">
      <c r="A5" t="inlineStr">
        <is>
          <t>Gross profit</t>
        </is>
      </c>
      <c r="B5">
        <f>B3-B4</f>
        <v/>
      </c>
      <c r="C5">
        <f>C3-C4</f>
        <v/>
      </c>
    </row>
    <row r="6">
      <c r="A6" t="inlineStr">
        <is>
          <t>Gross margin</t>
        </is>
      </c>
      <c r="B6">
        <f>B5/B3</f>
        <v/>
      </c>
      <c r="C6">
        <f>C5/C3</f>
        <v/>
      </c>
    </row>
    <row r="7">
      <c r="A7" t="inlineStr">
        <is>
          <t>Operating expenses</t>
        </is>
      </c>
      <c r="B7" t="n">
        <v>38000</v>
      </c>
      <c r="C7" t="n">
        <v>41000</v>
      </c>
    </row>
    <row r="8">
      <c r="A8" t="inlineStr">
        <is>
          <t>Operating income</t>
        </is>
      </c>
      <c r="B8">
        <f>B5-B7</f>
        <v/>
      </c>
      <c r="C8">
        <f>C5-C7</f>
        <v/>
      </c>
    </row>
    <row r="9">
      <c r="A9" t="inlineStr">
        <is>
          <t>Tax @ 21%</t>
        </is>
      </c>
      <c r="B9">
        <f>ROUND(B8*0.21,2)</f>
        <v/>
      </c>
      <c r="C9">
        <f>ROUND(C8*0.21,2)</f>
        <v/>
      </c>
    </row>
    <row r="10">
      <c r="A10" t="inlineStr">
        <is>
          <t>Net income</t>
        </is>
      </c>
      <c r="B10">
        <f>B8-B9</f>
        <v/>
      </c>
      <c r="C10">
        <f>C8-C9</f>
        <v/>
      </c>
    </row>
    <row r="11">
      <c r="A11" t="inlineStr">
        <is>
          <t>Full-year net</t>
        </is>
      </c>
      <c r="B11">
        <f>B10+C10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net income</t>
        </is>
      </c>
      <c r="B1">
        <f>PnL!B11</f>
        <v/>
      </c>
    </row>
    <row r="2">
      <c r="A2" t="inlineStr">
        <is>
          <t>H1 revenue</t>
        </is>
      </c>
      <c r="B2">
        <f>PnL!B3+PnL!C3</f>
        <v/>
      </c>
    </row>
    <row r="3">
      <c r="A3" t="inlineStr">
        <is>
          <t>Avg gross margin</t>
        </is>
      </c>
      <c r="B3">
        <f>AVERAGE(PnL!B6:C6)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2026-07-18T06:34:13Z</dcterms:created>
  <dcterms:modified xsi:type="dcterms:W3CDTF">2026-07-18T06:34:13Z</dcterms:modified>
</cp:coreProperties>
</file>